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 Details" sheetId="1" r:id="rId5"/>
    <sheet state="visible" name="Compoment List" sheetId="2" r:id="rId6"/>
  </sheets>
  <definedNames/>
  <calcPr/>
</workbook>
</file>

<file path=xl/sharedStrings.xml><?xml version="1.0" encoding="utf-8"?>
<sst xmlns="http://schemas.openxmlformats.org/spreadsheetml/2006/main" count="358" uniqueCount="288">
  <si>
    <t>Design and Development of a Low-Cost Refreshable Braille Tutor Robot Using Soft Tactile Actuation and Bangla NLP
OR
BrailleBondhu: A Low-Cost Refreshable Braille Tutor Utilizing Soft Actuation and Bengali NLP</t>
  </si>
  <si>
    <t>Person</t>
  </si>
  <si>
    <t>SL</t>
  </si>
  <si>
    <t>Title</t>
  </si>
  <si>
    <t>Paper Link</t>
  </si>
  <si>
    <t>Year</t>
  </si>
  <si>
    <t>Publisher</t>
  </si>
  <si>
    <t>Journal/
Conferance</t>
  </si>
  <si>
    <t>Ojective</t>
  </si>
  <si>
    <t>Methodology</t>
  </si>
  <si>
    <t>Limitation</t>
  </si>
  <si>
    <t>Outcome</t>
  </si>
  <si>
    <t>Abdulla</t>
  </si>
  <si>
    <t>Design and Evaluation of an Electromagnetic Bounce-Type Refreshable Braille Display</t>
  </si>
  <si>
    <t>https://ieeexplore.ieee.org/abstract/document/10856226</t>
  </si>
  <si>
    <t>IEEE</t>
  </si>
  <si>
    <t>IEEE Transactions on Neural Systems and Rehabilitation Engineering</t>
  </si>
  <si>
    <t>To create a low-cost Braille display using an electromagnetic bounce-type actuator for both text and graphics.</t>
  </si>
  <si>
    <t>Force analysis and finite element simulation (FEA) followed by experimental measurement of refresh rate and latching force.</t>
  </si>
  <si>
    <t>The graphic refresh rate (2.7 Hz) is significantly slower than the single dot refresh rate (16 Hz).</t>
  </si>
  <si>
    <t>Achieved a 16 Hz actuator refresh rate and high latching force without constant power, reducing energy consumption.</t>
  </si>
  <si>
    <t>Development and Evaluation of Refreshable Braille Display and Active Touch-Reading System for Digital Reading of the Visually Impaired</t>
  </si>
  <si>
    <t>https://ieeexplore.ieee.org/abstract/document/10423856</t>
  </si>
  <si>
    <t>To improve digital reading for BVI users through a low-cost display with full latching and an active touch-reading system.</t>
  </si>
  <si>
    <t>Utilization of a beam structure for energy-free latching, optimized via FEA and integrated with a virtual interaction environment (CHAI3D).</t>
  </si>
  <si>
    <t>Heavy reliance on external virtual software environments may limit stand-alone portability.</t>
  </si>
  <si>
    <t>Developed a system with sufficient feedback and latching force, improving reading efficiency and recognition accuracy.</t>
  </si>
  <si>
    <t>LipSyncNet: A Novel Deep Learning Approach for Visual Speech Recognition in Audio-Challenged Situations</t>
  </si>
  <si>
    <t>https://ieeexplore.ieee.org/abstract/document/10620170</t>
  </si>
  <si>
    <t>IEEE Access</t>
  </si>
  <si>
    <t>To improve lip-reading accuracy in audio-challenged environments using a specialized deep learning framework.</t>
  </si>
  <si>
    <t>A 3D-CNN (using EfficientNetB0 for feature extraction) combined with a Bi-LSTM backend and Connectionist Temporal Classification (CTC) loss.</t>
  </si>
  <si>
    <t>Performance is sensitive to extreme lighting conditions and head poses where lip contours are obscured.</t>
  </si>
  <si>
    <t>Demonstrated superior accuracy in visual speech recognition compared to traditional hybrid DNN-HMM models.</t>
  </si>
  <si>
    <t>Designing a Tactile Document UI for 2D Refreshable Tactile Displays: Towards Accessible Document Layouts for Blind People</t>
  </si>
  <si>
    <t>https://www.mdpi.com/2414-4088/8/11/102</t>
  </si>
  <si>
    <t>MDPI</t>
  </si>
  <si>
    <t>Multimodal Technologies and Interaction</t>
  </si>
  <si>
    <t>To create an accessible document layout user interface (UI) for blind people using 2D refreshable tactile displays.</t>
  </si>
  <si>
    <t>A user-centered design approach focused on tactile layout recognition and navigation strategies for complex documents.</t>
  </si>
  <si>
    <t>Complex tactile graphics can lead to high cognitive load and require specific user training for effective navigation.</t>
  </si>
  <si>
    <t>Developed a UI that enables blind users to understand and navigate complex digital document structures more effectively.</t>
  </si>
  <si>
    <t>Learning at Your Fingertips: An Innovative IoT-Based AI-Powered Braille Learning System</t>
  </si>
  <si>
    <t>https://www.mdpi.com/2571-5577/6/5/91</t>
  </si>
  <si>
    <t>Applied System Innovation</t>
  </si>
  <si>
    <t>To develop an IoT and AI-powered system that helps visually impaired individuals learn Braille independently.</t>
  </si>
  <si>
    <t>An IoT-based system utilizing Raspberry Pi and camera-based AI models for real-time character recognition and interactive audio feedback.</t>
  </si>
  <si>
    <t>The hardware footprint and the requirement for stable power/internet for AI processing can limit portability.</t>
  </si>
  <si>
    <t>Achieved high character recognition accuracy and proved effective for independent, self-paced Braille study.</t>
  </si>
  <si>
    <t>3D-ElectroZip touch: multi-directional haptic feedback with electro-ribbon zipping actuators</t>
  </si>
  <si>
    <t>https://iopscience.iop.org/article/10.1088/1361-665X/ad61a3/meta</t>
  </si>
  <si>
    <t>IOP Publishing</t>
  </si>
  <si>
    <t>Smart Materials and Structures</t>
  </si>
  <si>
    <t>To develop multi-directional haptic feedback capabilities using electro-ribbon zipping actuators for tactile interfaces.</t>
  </si>
  <si>
    <t>Designing and testing electro-ribbon actuators that utilize "zipping" motion for force feedback in three dimensions.</t>
  </si>
  <si>
    <t>High voltage requirements for operation pose safety and integration challenges for wearable applications.</t>
  </si>
  <si>
    <t>Successfully created a compact actuator capable of providing force feedback in multiple directions.</t>
  </si>
  <si>
    <t>IoT-driven accessibility: A refreshable OCR-Braille solution for visually impaired and deaf-blind users through WSN</t>
  </si>
  <si>
    <t>https://www.sciencedirect.com/science/article/pii/S2949948824000246</t>
  </si>
  <si>
    <t>Elsevier</t>
  </si>
  <si>
    <t>Journal of Economy and Technology</t>
  </si>
  <si>
    <t>To increase autonomy for visually impaired and deaf-blind users by converting text from photos into real-time Braille.</t>
  </si>
  <si>
    <t>Integration of Optical Character Recognition (OCR) with IoT and Wireless Sensor Networks (WSN) for real-time text-to-Braille conversion.</t>
  </si>
  <si>
    <t>Relies on stable internet for IoT functions; OCR performance is hindered by poor lighting or low image resolution.</t>
  </si>
  <si>
    <t>Developed a real-time recognition system that enhances the reading experience through combined tactile and audio feedback.</t>
  </si>
  <si>
    <t>Advancements in refreshable Braille display technology: A comprehensive survey</t>
  </si>
  <si>
    <t>https://www.sciencedirect.com/science/article/pii/S0141938225001702</t>
  </si>
  <si>
    <t>Displays</t>
  </si>
  <si>
    <t>To provide a comprehensive mapping literature review of RBD advancements across six distinct actuator technologies.</t>
  </si>
  <si>
    <t>A mapping literature review analyzing 96 papers on piezoelectric, electromagnetic, EAP, pneumatic, SMA, and microfluidic technologies.</t>
  </si>
  <si>
    <t>High cost, bulkiness, and maintenance issues remain significant hurdles for the commercialization of many prototype designs.</t>
  </si>
  <si>
    <t>Provides a comparative analysis to inform technology selection based on user needs, identifying trends in durability and feedback.</t>
  </si>
  <si>
    <t>Haptic Sensing and Feedback Techniques toward Virtual Reality</t>
  </si>
  <si>
    <t>https://spj.science.org/doi/full/10.34133/research.0333</t>
  </si>
  <si>
    <t>AAAS</t>
  </si>
  <si>
    <t>Research</t>
  </si>
  <si>
    <t>To summarize state-of-the-art VR-related haptic sensing and feedback hardware and their integration into VR systems.</t>
  </si>
  <si>
    <t>Review of sensing mechanisms (piezoresistive, capacitive, etc.) and feedback methodologies (mechanical, electrical, elastic).</t>
  </si>
  <si>
    <t>Key challenges include achieving high accuracy and durability while resolving technical conflicts between sensing and feedback hardware.</t>
  </si>
  <si>
    <t>Outlined future prospects for haptic interaction in AIoT, medical technology, and immersive entertainment.</t>
  </si>
  <si>
    <t>Recent Advances in Tactile Sensory Systems: Mechanisms, Fabrication, and Applications</t>
  </si>
  <si>
    <t>https://www.mdpi.com/2079-4991/14/5/465</t>
  </si>
  <si>
    <t>Nanomaterials</t>
  </si>
  <si>
    <t>To review recent developments in tactile sensors, including mechanisms, fabrication, and diverse applications.</t>
  </si>
  <si>
    <t>A comprehensive review of materials and fabrication techniques (piezoresistive, capacitive, etc.) used in tactile sensing.</t>
  </si>
  <si>
    <t>Challenges remain in maintaining long-term stability and achieving high sensitivity across a wide range of pressures.</t>
  </si>
  <si>
    <t>Summarized key advancements in sensory materials and their applications in healthcare, robotics, and human-machine interaction.</t>
  </si>
  <si>
    <t>Sunzida</t>
  </si>
  <si>
    <t>Ultra Low Cost, Low Power, High Speed Electronic 
Braille Device for Visually Impaired People</t>
  </si>
  <si>
    <t>https://ieeexplore.ieee.org/abstract/document/10499456</t>
  </si>
  <si>
    <t>--</t>
  </si>
  <si>
    <t>2024 International Conference on Advances in Computing, Communication, Electrical, and Smart Systems (iCACCESS)</t>
  </si>
  <si>
    <t>To design an affordable, customized, and rechargeable braille pad utilizing solenoids for quick reading.</t>
  </si>
  <si>
    <t>The device was constructed using 3D printing methodologies and a microcontroller to control the process.</t>
  </si>
  <si>
    <t>A portable 338g device capable of translating text from cellular devices and laptops with modified sensitivity.</t>
  </si>
  <si>
    <t>Not explicitly stated in the abstract, though long-term mechanical reliability of solenoid arrays is implied.</t>
  </si>
  <si>
    <t>Sensors and actuators based on magnetic materials for haptic interfaces</t>
  </si>
  <si>
    <t>https://ieeexplore.ieee.org/abstract/document/10800596</t>
  </si>
  <si>
    <t>Royal Society of Chemistry</t>
  </si>
  <si>
    <t>Journal of Materials Chemistry C</t>
  </si>
  <si>
    <t>To provide an up-to-date overview of haptic interfaces utilizing magnetic materials for sensing and actuation.</t>
  </si>
  <si>
    <t>A review of magnetic properties coupled with mechanical, electrical, and thermal fields, and their application in haptic devices.</t>
  </si>
  <si>
    <t>Identification of magnetic materials as having potential for high-performance, adjustable, and low-cost haptic interfaces.</t>
  </si>
  <si>
    <t>Current response speeds and miniaturization of tactile actuators still lag behind real-time requirements.</t>
  </si>
  <si>
    <t>Refreshable Braille Display: A Review of Existing Technologies and a Proposed Method</t>
  </si>
  <si>
    <t>2024 IEEE International Conference on Power, Electrical, Electronics and Industrial Applications (PEEIACON)</t>
  </si>
  <si>
    <t>To conduct a comprehensive review of existing Braille display technologies and propose a new actuation method.</t>
  </si>
  <si>
    <t>Meticulous examination and evaluation of current refreshable Braille display (RBD) technologies and mechanisms.</t>
  </si>
  <si>
    <t>Summarization of technological progress and proposal of a specific method to improve access for the visually impaired.</t>
  </si>
  <si>
    <t>High costs of existing technologies often exceed the benefits for many visually impaired individuals.</t>
  </si>
  <si>
    <t>PRET Printer: Development and Evaluation of a Passive Refreshable Tactile Printer</t>
  </si>
  <si>
    <t>https://dl.acm.org/doi/abs/10.1145/3674829.3675070</t>
  </si>
  <si>
    <t>Proceedings of the 7th ACM SIGCAS/SIGCHI Conference on Computing and Sustainable Societies</t>
  </si>
  <si>
    <t>To develop a printer that converts pixel art into passive refreshable tactile graphics using thermal-responsive material.</t>
  </si>
  <si>
    <t>Workflow involving laser engraving where a laser heats selected pixels on "Tacilia" to create tactile graphics.</t>
  </si>
  <si>
    <t>Successful prototype capable of "printing" refreshable tactile graphics from digital libraries in minutes.</t>
  </si>
  <si>
    <t>System effectiveness relies on specific laser processing and thermal-responsive material (Tacilia).</t>
  </si>
  <si>
    <t>Haptic Light-Emitting Diodes: Miniature, Luminous Tactile Actuators</t>
  </si>
  <si>
    <t>https://arxiv.org/abs/2601.11043</t>
  </si>
  <si>
    <t>arXiv preprint arXiv:2601.11043</t>
  </si>
  <si>
    <t>To present HLEDs, actuators that directly convert pulsed light into mechanical forces and displacements.</t>
  </si>
  <si>
    <t>Packaging an LED in a gas-filled cavity with a graphite photoabsorber and elastic membrane to create pressure increases.</t>
  </si>
  <si>
    <t>Millimeter-scale actuators producing forces &gt;0.4 N and displacements of 0.9 mm with 5-100 ms response times.</t>
  </si>
  <si>
    <t>Performance is dependent on specific optical pulse durations and the thermal response of the photoabsorber.</t>
  </si>
  <si>
    <t>PneuGelSight: Soft Robotic Vision-Based Proprioception and Tactile Sensing</t>
  </si>
  <si>
    <t>https://journals.sagepub.com/doi/abs/10.1177/02783649251378153</t>
  </si>
  <si>
    <t>SAGE Publications Sage UK: London, England</t>
  </si>
  <si>
    <t>The International Journal of Robotics Research</t>
  </si>
  <si>
    <t>To introduce a vision-based approach for sensorizing soft robots with high-resolution proprioception and tactile sensing.</t>
  </si>
  <si>
    <t>Development of a pneumatic manipulator with an embedded camera and a sim-to-real simulation pipeline.</t>
  </si>
  <si>
    <t>A robust sensing methodology facilitating zero-shot knowledge transition from simulation to real-world soft robots.</t>
  </si>
  <si>
    <t>Complex nonlinear nature of soft materials complicates modeling; deformable structures are difficult to integrate with rigid electronics.</t>
  </si>
  <si>
    <t>Refreshable Tactile Displays for Accessible Data Visualisation</t>
  </si>
  <si>
    <t>https://arxiv.org/abs/2401.15836</t>
  </si>
  <si>
    <t>arXiv preprint arXiv:2401.15836</t>
  </si>
  <si>
    <t>To explore the potential uses and needs for Refreshable Tactile Displays (RTDs) in accessible data visualization.</t>
  </si>
  <si>
    <t>A qualitative study sharing perspectives from blind touch readers, teachers, and assistive technology providers.</t>
  </si>
  <si>
    <t>Provided advice for the data visualization community to ensure visually impaired users benefit from affordable RTDs.</t>
  </si>
  <si>
    <t>RTDs differ from existing tactile graphics in scale, height, and fidelity, which may impact user experience.</t>
  </si>
  <si>
    <t>HaptiCoil: Soft Programmable Buttons with Hydraulically Coupled Haptic Feedback and Sensing</t>
  </si>
  <si>
    <t>https://dl.acm.org/doi/full/10.1145/3706598.3713175</t>
  </si>
  <si>
    <t>Proceedings of the 2025 CHI Conference on Human Factors in Computing Systems</t>
  </si>
  <si>
    <t>To present a low-cost, compact system for wide-bandwidth (1-500 Hz) soft haptic buttons with integrated sensing.</t>
  </si>
  <si>
    <t>Adapting planar micro-speakers with a hydraulic coupling mechanism to direct energy to the skin and sense self-inductance.</t>
  </si>
  <si>
    <t>A flexible button that provides a wide range of tactile stimuli while maintaining low power levels (under 40 mW).</t>
  </si>
  <si>
    <t>Effective performance depends on the precise measurement of self-inductance and low-power thresholds.</t>
  </si>
  <si>
    <t>Flat Panel Haptics: Embedded Electroosmotic Pumps for Scalable Shape Displays</t>
  </si>
  <si>
    <t>https://dl.acm.org/doi/full/10.1145/3544548.3581547</t>
  </si>
  <si>
    <t>Proceedings of the 2023 CHI conference on human factors in computing systems</t>
  </si>
  <si>
    <t>To introduce a shape-changing display approach using embedded electroosmotic pumps (EEOPs).</t>
  </si>
  <si>
    <t>Building a 1.5mm thick actuator pump layer capable of fast actuation and large surface deformations.</t>
  </si>
  <si>
    <t>Successful creation of pop-up interfaces and deformable keyboards that only reveal themselves under computer control.</t>
  </si>
  <si>
    <t>Requires precise, self-contained packaging to achieve millimeters of displacement in such a thin form factor.</t>
  </si>
  <si>
    <t>Recent progress in high-resolution tactile sensor array: From sensor fabrication to advanced applications</t>
  </si>
  <si>
    <t>https://www.sciencedirect.com/science/article/pii/S1002007123000175</t>
  </si>
  <si>
    <t>Progress in Natural Science: Materials International</t>
  </si>
  <si>
    <t>To summarize the state-of-the-art in tactile sensor arrays, focusing on fabrication and advanced applications.</t>
  </si>
  <si>
    <t>Review of preparation methods (screen printing, 3D printing) and strategies to optimize signal crosstalk.</t>
  </si>
  <si>
    <t>Identification of trends in multimodal detection and stretchable/self-powered integration for advanced sensing.</t>
  </si>
  <si>
    <t>Flexible high-density arrays face signal crosstalk challenges that require complex structural and circuit designs.</t>
  </si>
  <si>
    <t>Nasir</t>
  </si>
  <si>
    <t>Design and development of a low-cost voice interactive children educational robot 'tiny'with natural language processing</t>
  </si>
  <si>
    <t>https://ieeexplore.ieee.org/abstract/document/10543739</t>
  </si>
  <si>
    <t>2024 International Conference on Image Processing and Robotics (ICIPRoB)</t>
  </si>
  <si>
    <t>To design and develop "TINY," a low-cost, Bangla-speaking educational robot intended to assist therapy and social interaction for children with Autism Spectrum Disorder in Bangladesh.</t>
  </si>
  <si>
    <t>The team built a Raspberry Pi-based robot with NLP capabilities. It was evaluated through stakeholder surveys and direct field interaction tests with autistic children in classrooms.</t>
  </si>
  <si>
    <t>Stakeholders identified significant implementation challenges, including financial constraints, a lack of technical support, and resistance to adopting new robotic technologies in local contexts.</t>
  </si>
  <si>
    <t>Field tests showed varied engagement; while some children exhibited positive social interactions, others showed negative reactions, highlighting the need for culturally adapted, localized solutions.</t>
  </si>
  <si>
    <t>An Undergraduate Project on Topic “Design and Development of a Low-cost Bangla Voice Interactive Children Educational Robot “TINY” for ASD Application”</t>
  </si>
  <si>
    <t>http://103.81.70.85/handle/11348/994</t>
  </si>
  <si>
    <t>A braille detection system based on visuo-tactile sensing</t>
  </si>
  <si>
    <t>https://www.sciencedirect.com/science/article/abs/pii/S0263224125001861</t>
  </si>
  <si>
    <t>Measurement</t>
  </si>
  <si>
    <t>To improve braille detection efficiency and interaction stability in teaching by developing a wearable fingertip-shaped visuo-tactile sensor (TIRgel 2.0) and an intelligent interactive system.</t>
  </si>
  <si>
    <t>The authors developed a sensor using total internal reflection and integrated it into a system with voice control, hybrid detection algorithms, and a Large Language Model for translation.</t>
  </si>
  <si>
    <t>The study does not explicitly state the limitations or constraints of the proposed TIRgel 2.0 sensor, the interactive system, or the experimental study design.</t>
  </si>
  <si>
    <t>The system demonstrated high performance with over 95% detection accuracy and near 100% translation accuracy, successfully reducing recognition errors and providing semantic explanations.</t>
  </si>
  <si>
    <t>i-Glove: An Intelligent Glove System Based on Deep Learning to Support Deaf-blind Individuals in Recognizing Banknotes</t>
  </si>
  <si>
    <t>https://ieeexplore.ieee.org/abstract/document/10928364</t>
  </si>
  <si>
    <t>2024 IEEE 3rd International Conference on Robotics, Automation, Artificial-Intelligence and Internet-of-Things (RAAICON)</t>
  </si>
  <si>
    <t>To develop "i-Glove," a wearable assistive device for the deaf-blind in Bangladesh, enabling autonomous financial transactions through accurate, real-time recognition of specific currency notes.</t>
  </si>
  <si>
    <t>A palmar-mounted camera captures images, processed by a CNN model. The system translates identified banknotes into distinct vibration patterns delivered via a shaftless motor for tactile feedback.</t>
  </si>
  <si>
    <t>The study utilized a compact dataset for training the model. The abstract does not explicitly state further limitations regarding environmental factors, lighting conditions, or hardware battery life.</t>
  </si>
  <si>
    <t>The system achieved a 96.55% F1-score accuracy. It successfully integrated a dedicated app and glove to provide real-time, intuitive vibration-based feedback for nine different banknote denominations.</t>
  </si>
  <si>
    <t>A Multilingual Handwriting Learning System for Visually Impaired People</t>
  </si>
  <si>
    <t>https://ieeexplore.ieee.org/abstract/document/10399807</t>
  </si>
  <si>
    <t>To develop a voice-guided multilingual handwriting system for visually impaired people, overcoming the limitations of expensive haptic devices and existing single-language educational tools</t>
  </si>
  <si>
    <t>The study employed a stylus, graphics pad, and voice guidance. A Random Forest machine learning model evaluated user progress, validated by a study with sixteen participants.</t>
  </si>
  <si>
    <t>The empirical study involved a relatively small sample size of sixteen participants, and the reliance on specific hardware like graphics pads may limit widespread accessibility.</t>
  </si>
  <si>
    <t>The Random Forest model achieved 99.8% accuracy. Visually impaired participants demonstrated improved learning efficiency and unanimously recommended the system for future handwriting education.</t>
  </si>
  <si>
    <t>Social Robots in Education for Long-Term Human-Robot Interaction : Socially Supportive Behaviour of Robotic Tutor for Creating Robo-Tangible Learning Environment in a Guided Discovery Learning Interaction</t>
  </si>
  <si>
    <t>https://www.semanticscholar.org/paper/Social-Robots-in-Education-for-Long-Term-%3A-Socially-Alam/51479457d258642ef04b358eaf66b17fb2e1d90a</t>
  </si>
  <si>
    <t>IOP Science</t>
  </si>
  <si>
    <t xml:space="preserve"> ECS Transactions</t>
  </si>
  <si>
    <t>To assess the impact of social robots on learning outcomes and engagement, analyzing their roles and behaviors to provide a foundational framework for future educational research</t>
  </si>
  <si>
    <t>The study employs a statistical meta-analysis of previously published research articles to substantiate claims regarding the effectiveness, appearance, and roles of robot tutors in education.</t>
  </si>
  <si>
    <t>The study does not explicitly state specific limitations of the meta-analysis itself, aside from its exclusive focus on robots designed specifically for social interaction in learning.</t>
  </si>
  <si>
    <t>The study establishes a groundwork for future inquiry, identifying potential roles for robots and describing expected learning outcomes based on the synthesized evidence from prior research.</t>
  </si>
  <si>
    <t>Visual and tactile perception techniques for braille recognition</t>
  </si>
  <si>
    <t>https://link.springer.com/article/10.1186/s40486-023-00191-w</t>
  </si>
  <si>
    <t>Springer</t>
  </si>
  <si>
    <t>Micro and Nano Systems Letters</t>
  </si>
  <si>
    <t>To develop a bimodal braille recognition system combining visual deep learning and tactile pressure sensors to facilitate literal communication for visually impaired individuals.</t>
  </si>
  <si>
    <t>The study used Faster R-CNN on augmented image datasets for visual recognition and fabricated a flexible capacitive pressure sensor array for physical tactile sensing.</t>
  </si>
  <si>
    <t>As a foundational technical study, it focuses on sensor fabrication and model metrics, implying that further integration is needed for a fully deployable assistive device.</t>
  </si>
  <si>
    <t>Visual recognition achieved a 94.8 mAP score. The tactile sensor array successfully recognized characters with improved sensitivity due to a specific micro dome-structured layer design.</t>
  </si>
  <si>
    <t>Factors hindering the use of Braille for instruction and assessment of students with visual impairments: A systematic review</t>
  </si>
  <si>
    <t>https://journals.sagepub.com/doi/abs/10.1177/02646196241239173</t>
  </si>
  <si>
    <t>Sage Journals</t>
  </si>
  <si>
    <t>British Journal of Visual Impairment</t>
  </si>
  <si>
    <t>To identify and analyze the barriers hindering Braille learning and usage for visually impaired students across various grade levels to support educational inclusion.</t>
  </si>
  <si>
    <t>Researchers conducted a systematic review using PRISMA guidelines, screening 186 articles from online databases and selecting 12 relevant studies for quality assessment via mixed-method appraisal.</t>
  </si>
  <si>
    <t>The review relied on a relatively small final selection of only 12 articles, which may limit the breadth of data regarding global Braille education challenges.</t>
  </si>
  <si>
    <t>Identified barriers include student reliance on audio, lack of teacher expertise, scarce Braille resources, and insufficient policy support, highlighting the need for systemic educational reform.</t>
  </si>
  <si>
    <t>Novel multifunctional composite ionogels for smart actuation, underwater sensing, and self-powered Braille communication systems</t>
  </si>
  <si>
    <t>https://www.sciencedirect.com/science/article/abs/pii/S1359836825009692</t>
  </si>
  <si>
    <t>ELSEVIER</t>
  </si>
  <si>
    <t>Composites Part B: Engineering</t>
  </si>
  <si>
    <t>To design a multifunctional composite ionogel (PVDF-HFP/PEDOT:PSS) that resolves compatibility issues in flexible materials, ensuring toughness, underwater stability, and shape memory for intelligent sensing applications.</t>
  </si>
  <si>
    <t>The study developed a PVDF-HFP and PEDOT:PSS composite. Tests evaluated mechanical strength, conductivity, and shape memory. Applications included underwater strain sensing and a self-powered pressure sensor for braille.</t>
  </si>
  <si>
    <t>The study does not report any limitations, focusing exclusively on the successful integration of multifunctionalities and the superior performance of the developed ionogel system.</t>
  </si>
  <si>
    <t>The ionogel demonstrated &gt;98% shape recovery, lifted heavy loads, and provided stable underwater sensing. A self-powered sensor achieved high sensitivity, facilitating a braille typing assistance system.</t>
  </si>
  <si>
    <t>Quality of life for braille users: A scoping review</t>
  </si>
  <si>
    <t>https://bera-journals.onlinelibrary.wiley.com/doi/full/10.1002/rev3.70083</t>
  </si>
  <si>
    <t>BERA</t>
  </si>
  <si>
    <t>Review of Education</t>
  </si>
  <si>
    <t>To scope existing literature regarding braille literacy definitions and investigate the evidence linking braille usage to the quality of life of visually impaired people.</t>
  </si>
  <si>
    <t>Researchers conducted a scoping review using PRISMA-Sc guidelines, screening over three thousand records to identify and analyze forty-six peer-reviewed papers meeting specific inclusion criteria.</t>
  </si>
  <si>
    <t>The review found existing research to be fragmented, lacking consistent definitions for braille literacy and containing insufficient data to conclusively link literacy to quality of life.</t>
  </si>
  <si>
    <t>The study highlighted the importance of braille for adult independence but revealed a critical gap in evidence, urging high-quality research on braille's long-term impact.</t>
  </si>
  <si>
    <t>Fahim</t>
  </si>
  <si>
    <t>Recurrent Neural Networks: A Comprehensive Review of Architectures, Variants, and Applications</t>
  </si>
  <si>
    <t>https://www.mdpi.com/2078-2489/15/9/517</t>
  </si>
  <si>
    <t>Information</t>
  </si>
  <si>
    <t>The FlexiBoard: Tangible and Tactile Graphics for People with Vision Impairments</t>
  </si>
  <si>
    <t>Neuromorphic BrailleNet: Accurate and Generalizable Braille
Reading Beyond Single Characters through Event-Based Optical
Tactile Sensing</t>
  </si>
  <si>
    <t>arXiv preprint arXiv:2601.19079</t>
  </si>
  <si>
    <t>How can haptic feedback assist people with blind and low vision (BLV): A systematic literature review</t>
  </si>
  <si>
    <t>https://dl.acm.org/doi/full/10.1145/3711931</t>
  </si>
  <si>
    <t>ACM New York, NY</t>
  </si>
  <si>
    <t>ACM Transactions on Accessible Computing</t>
  </si>
  <si>
    <t>MagnePins: A Modular, Affordable, and DIY Refreshable Braille and Tactile Display</t>
  </si>
  <si>
    <t>https://dl.acm.org/doi/full/10.1145/3746059.3747692</t>
  </si>
  <si>
    <t>Recent Progress in Flexible Piezoelectric Tactile Sensors: Materials, Structures, Fabrication, and Application</t>
  </si>
  <si>
    <t>https://www.mdpi.com/1424-8220/25/3/964</t>
  </si>
  <si>
    <t>Sensors (Basel, Switzerland)</t>
  </si>
  <si>
    <t>A review of cooperative actuator and sensor systems based on dielectric elastomer transducers</t>
  </si>
  <si>
    <t>https://www.mdpi.com/2076-0825/12/2/46</t>
  </si>
  <si>
    <t>Active electronic skin: an interface towards ambient haptic feedback on physical surfaces</t>
  </si>
  <si>
    <t>https://www.nature.com/articles/s41528-024-00311-5</t>
  </si>
  <si>
    <t>Nature Publishing Group UK London</t>
  </si>
  <si>
    <t>npj Flexible Electronics</t>
  </si>
  <si>
    <t>A Hybrid Soft Haptic Display for Rendering Lump Stiffness in Remote Palpation</t>
  </si>
  <si>
    <t>https://arxiv.org/pdf/2601.11807</t>
  </si>
  <si>
    <t>arXiv preprint arXiv:2601.11807</t>
  </si>
  <si>
    <t>Long short-term memory networks: A comprehensive survey</t>
  </si>
  <si>
    <t>https://www.mdpi.com/2673-2688/6/9/215</t>
  </si>
  <si>
    <t>AI</t>
  </si>
  <si>
    <t>Product Item</t>
  </si>
  <si>
    <t>Model / Specification</t>
  </si>
  <si>
    <t>Qty</t>
  </si>
  <si>
    <t>Unit Price (BDT)</t>
  </si>
  <si>
    <t>Total (BDT)</t>
  </si>
  <si>
    <t>Microcontroller</t>
  </si>
  <si>
    <t>ESP-32S ESP-WROOM-32</t>
  </si>
  <si>
    <t>Pull-Push Solenoid</t>
  </si>
  <si>
    <t>JF-0530B, DC6V, 5N, 10 mm</t>
  </si>
  <si>
    <t>MOSFET (Logic-Level)</t>
  </si>
  <si>
    <t>IRLZ44N</t>
  </si>
  <si>
    <t>Flyback Diode</t>
  </si>
  <si>
    <t>1N4007</t>
  </si>
  <si>
    <t>4WD Smart Robot Chassis Kit</t>
  </si>
  <si>
    <t>Transparent chassis + motors, wheels</t>
  </si>
  <si>
    <t>Speaker</t>
  </si>
  <si>
    <t>8Ω, 1–2W</t>
  </si>
  <si>
    <t>Audio Amplifier</t>
  </si>
  <si>
    <t>PAM8403</t>
  </si>
  <si>
    <t>Microphone Module</t>
  </si>
  <si>
    <t>MAX9814 / INMP441</t>
  </si>
  <si>
    <t>Battery Pack</t>
  </si>
  <si>
    <t>2×18650 Li-ion</t>
  </si>
  <si>
    <t>Buck Converter</t>
  </si>
  <si>
    <t>LM2596 (6V, ≥3A)</t>
  </si>
  <si>
    <t>PCB / Breadboard</t>
  </si>
  <si>
    <t>General purpose</t>
  </si>
  <si>
    <t>Jumper Wires</t>
  </si>
  <si>
    <t>M–M / M–F set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</si>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</sst>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6.0"/>
      <color rgb="FF000000"/>
      <name val="Times New Roman"/>
    </font>
    <font>
      <color theme="1"/>
      <name val="Arial"/>
      <scheme val="minor"/>
    </font>
    <font>
      <b/>
      <sz val="10.0"/>
      <color rgb="FFFFFFFF"/>
      <name val="Times New Roman"/>
    </font>
    <font>
      <b/>
      <color rgb="FFFFFFFF"/>
      <name val="Times New Roman"/>
    </font>
    <font>
      <u/>
      <color rgb="FF0000FF"/>
    </font>
    <font>
      <color theme="1"/>
      <name val="Arial"/>
    </font>
    <font>
      <u/>
      <color rgb="FF0000FF"/>
    </font>
    <font>
      <color rgb="FF000000"/>
      <name val="Arial"/>
      <scheme val="minor"/>
    </font>
    <font>
      <u/>
      <sz val="12.0"/>
      <color rgb="FF0000FF"/>
      <name val="&quot;Times New Roman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sciencedirect.com/science/article/pii/S1002007123000175" TargetMode="External"/><Relationship Id="rId22" Type="http://schemas.openxmlformats.org/officeDocument/2006/relationships/hyperlink" Target="http://103.81.70.85/handle/11348/994" TargetMode="External"/><Relationship Id="rId21" Type="http://schemas.openxmlformats.org/officeDocument/2006/relationships/hyperlink" Target="https://ieeexplore.ieee.org/abstract/document/10543739" TargetMode="External"/><Relationship Id="rId24" Type="http://schemas.openxmlformats.org/officeDocument/2006/relationships/hyperlink" Target="https://ieeexplore.ieee.org/abstract/document/10928364" TargetMode="External"/><Relationship Id="rId23" Type="http://schemas.openxmlformats.org/officeDocument/2006/relationships/hyperlink" Target="https://www.sciencedirect.com/science/article/abs/pii/S0263224125001861" TargetMode="External"/><Relationship Id="rId1" Type="http://schemas.openxmlformats.org/officeDocument/2006/relationships/hyperlink" Target="https://ieeexplore.ieee.org/abstract/document/10856226" TargetMode="External"/><Relationship Id="rId2" Type="http://schemas.openxmlformats.org/officeDocument/2006/relationships/hyperlink" Target="https://ieeexplore.ieee.org/abstract/document/10423856" TargetMode="External"/><Relationship Id="rId3" Type="http://schemas.openxmlformats.org/officeDocument/2006/relationships/hyperlink" Target="https://ieeexplore.ieee.org/abstract/document/10620170" TargetMode="External"/><Relationship Id="rId4" Type="http://schemas.openxmlformats.org/officeDocument/2006/relationships/hyperlink" Target="https://www.mdpi.com/2414-4088/8/11/102" TargetMode="External"/><Relationship Id="rId9" Type="http://schemas.openxmlformats.org/officeDocument/2006/relationships/hyperlink" Target="https://spj.science.org/doi/full/10.34133/research.0333" TargetMode="External"/><Relationship Id="rId26" Type="http://schemas.openxmlformats.org/officeDocument/2006/relationships/hyperlink" Target="https://www.semanticscholar.org/paper/Social-Robots-in-Education-for-Long-Term-%3A-Socially-Alam/51479457d258642ef04b358eaf66b17fb2e1d90a" TargetMode="External"/><Relationship Id="rId25" Type="http://schemas.openxmlformats.org/officeDocument/2006/relationships/hyperlink" Target="https://ieeexplore.ieee.org/abstract/document/10399807" TargetMode="External"/><Relationship Id="rId28" Type="http://schemas.openxmlformats.org/officeDocument/2006/relationships/hyperlink" Target="https://journals.sagepub.com/doi/abs/10.1177/02646196241239173" TargetMode="External"/><Relationship Id="rId27" Type="http://schemas.openxmlformats.org/officeDocument/2006/relationships/hyperlink" Target="https://link.springer.com/article/10.1186/s40486-023-00191-w" TargetMode="External"/><Relationship Id="rId5" Type="http://schemas.openxmlformats.org/officeDocument/2006/relationships/hyperlink" Target="https://www.mdpi.com/2571-5577/6/5/91" TargetMode="External"/><Relationship Id="rId6" Type="http://schemas.openxmlformats.org/officeDocument/2006/relationships/hyperlink" Target="https://iopscience.iop.org/article/10.1088/1361-665X/ad61a3/meta" TargetMode="External"/><Relationship Id="rId29" Type="http://schemas.openxmlformats.org/officeDocument/2006/relationships/hyperlink" Target="https://www.sciencedirect.com/science/article/abs/pii/S1359836825009692" TargetMode="External"/><Relationship Id="rId7" Type="http://schemas.openxmlformats.org/officeDocument/2006/relationships/hyperlink" Target="https://www.sciencedirect.com/science/article/pii/S2949948824000246" TargetMode="External"/><Relationship Id="rId8" Type="http://schemas.openxmlformats.org/officeDocument/2006/relationships/hyperlink" Target="https://www.sciencedirect.com/science/article/pii/S0141938225001702" TargetMode="External"/><Relationship Id="rId31" Type="http://schemas.openxmlformats.org/officeDocument/2006/relationships/hyperlink" Target="https://www.mdpi.com/2078-2489/15/9/517" TargetMode="External"/><Relationship Id="rId30" Type="http://schemas.openxmlformats.org/officeDocument/2006/relationships/hyperlink" Target="https://bera-journals.onlinelibrary.wiley.com/doi/full/10.1002/rev3.70083" TargetMode="External"/><Relationship Id="rId11" Type="http://schemas.openxmlformats.org/officeDocument/2006/relationships/hyperlink" Target="https://ieeexplore.ieee.org/abstract/document/10499456" TargetMode="External"/><Relationship Id="rId33" Type="http://schemas.openxmlformats.org/officeDocument/2006/relationships/hyperlink" Target="https://dl.acm.org/doi/full/10.1145/3711931" TargetMode="External"/><Relationship Id="rId10" Type="http://schemas.openxmlformats.org/officeDocument/2006/relationships/hyperlink" Target="https://www.mdpi.com/2079-4991/14/5/465" TargetMode="External"/><Relationship Id="rId32" Type="http://schemas.openxmlformats.org/officeDocument/2006/relationships/hyperlink" Target="https://www.mdpi.com/2414-4088/8/3/17" TargetMode="External"/><Relationship Id="rId13" Type="http://schemas.openxmlformats.org/officeDocument/2006/relationships/hyperlink" Target="https://ieeexplore.ieee.org/abstract/document/10800596" TargetMode="External"/><Relationship Id="rId35" Type="http://schemas.openxmlformats.org/officeDocument/2006/relationships/hyperlink" Target="https://www.mdpi.com/1424-8220/25/3/964" TargetMode="External"/><Relationship Id="rId12" Type="http://schemas.openxmlformats.org/officeDocument/2006/relationships/hyperlink" Target="https://ieeexplore.ieee.org/abstract/document/10800596" TargetMode="External"/><Relationship Id="rId34" Type="http://schemas.openxmlformats.org/officeDocument/2006/relationships/hyperlink" Target="https://dl.acm.org/doi/full/10.1145/3746059.3747692" TargetMode="External"/><Relationship Id="rId15" Type="http://schemas.openxmlformats.org/officeDocument/2006/relationships/hyperlink" Target="https://arxiv.org/abs/2601.11043" TargetMode="External"/><Relationship Id="rId37" Type="http://schemas.openxmlformats.org/officeDocument/2006/relationships/hyperlink" Target="https://www.nature.com/articles/s41528-024-00311-5" TargetMode="External"/><Relationship Id="rId14" Type="http://schemas.openxmlformats.org/officeDocument/2006/relationships/hyperlink" Target="https://dl.acm.org/doi/abs/10.1145/3674829.3675070" TargetMode="External"/><Relationship Id="rId36" Type="http://schemas.openxmlformats.org/officeDocument/2006/relationships/hyperlink" Target="https://www.mdpi.com/2076-0825/12/2/46" TargetMode="External"/><Relationship Id="rId17" Type="http://schemas.openxmlformats.org/officeDocument/2006/relationships/hyperlink" Target="https://arxiv.org/abs/2401.15836" TargetMode="External"/><Relationship Id="rId39" Type="http://schemas.openxmlformats.org/officeDocument/2006/relationships/hyperlink" Target="https://www.mdpi.com/2673-2688/6/9/215" TargetMode="External"/><Relationship Id="rId16" Type="http://schemas.openxmlformats.org/officeDocument/2006/relationships/hyperlink" Target="https://journals.sagepub.com/doi/abs/10.1177/02783649251378153" TargetMode="External"/><Relationship Id="rId38" Type="http://schemas.openxmlformats.org/officeDocument/2006/relationships/hyperlink" Target="https://arxiv.org/pdf/2601.11807" TargetMode="External"/><Relationship Id="rId19" Type="http://schemas.openxmlformats.org/officeDocument/2006/relationships/hyperlink" Target="https://dl.acm.org/doi/full/10.1145/3544548.3581547" TargetMode="External"/><Relationship Id="rId18" Type="http://schemas.openxmlformats.org/officeDocument/2006/relationships/hyperlink" Target="https://dl.acm.org/doi/full/10.1145/3706598.371317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40.0"/>
    <col customWidth="1" min="7" max="7" width="22.75"/>
    <col customWidth="1" min="8" max="11" width="29.5"/>
  </cols>
  <sheetData>
    <row r="1">
      <c r="A1" s="1"/>
      <c r="B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6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" t="s">
        <v>12</v>
      </c>
      <c r="B3" s="7">
        <v>1.0</v>
      </c>
      <c r="C3" s="7" t="s">
        <v>13</v>
      </c>
      <c r="D3" s="8" t="s">
        <v>14</v>
      </c>
      <c r="E3" s="7">
        <v>2025.0</v>
      </c>
      <c r="F3" s="7" t="s">
        <v>15</v>
      </c>
      <c r="G3" s="7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" t="s">
        <v>12</v>
      </c>
      <c r="B4" s="7">
        <v>2.0</v>
      </c>
      <c r="C4" s="7" t="s">
        <v>21</v>
      </c>
      <c r="D4" s="10" t="s">
        <v>22</v>
      </c>
      <c r="E4" s="7">
        <v>2024.0</v>
      </c>
      <c r="F4" s="7" t="s">
        <v>15</v>
      </c>
      <c r="G4" s="7" t="s">
        <v>16</v>
      </c>
      <c r="H4" s="9" t="s">
        <v>23</v>
      </c>
      <c r="I4" s="9" t="s">
        <v>24</v>
      </c>
      <c r="J4" s="9" t="s">
        <v>25</v>
      </c>
      <c r="K4" s="9" t="s">
        <v>26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7" t="s">
        <v>12</v>
      </c>
      <c r="B5" s="7">
        <v>3.0</v>
      </c>
      <c r="C5" s="7" t="s">
        <v>27</v>
      </c>
      <c r="D5" s="10" t="s">
        <v>28</v>
      </c>
      <c r="E5" s="7">
        <v>2024.0</v>
      </c>
      <c r="F5" s="7" t="s">
        <v>15</v>
      </c>
      <c r="G5" s="7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7" t="s">
        <v>12</v>
      </c>
      <c r="B6" s="7">
        <v>4.0</v>
      </c>
      <c r="C6" s="7" t="s">
        <v>34</v>
      </c>
      <c r="D6" s="10" t="s">
        <v>35</v>
      </c>
      <c r="E6" s="7">
        <v>2024.0</v>
      </c>
      <c r="F6" s="7" t="s">
        <v>36</v>
      </c>
      <c r="G6" s="7" t="s">
        <v>37</v>
      </c>
      <c r="H6" s="9" t="s">
        <v>38</v>
      </c>
      <c r="I6" s="9" t="s">
        <v>39</v>
      </c>
      <c r="J6" s="9" t="s">
        <v>40</v>
      </c>
      <c r="K6" s="9" t="s">
        <v>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7" t="s">
        <v>12</v>
      </c>
      <c r="B7" s="7">
        <v>5.0</v>
      </c>
      <c r="C7" s="7" t="s">
        <v>42</v>
      </c>
      <c r="D7" s="10" t="s">
        <v>43</v>
      </c>
      <c r="E7" s="7">
        <v>2023.0</v>
      </c>
      <c r="F7" s="7" t="s">
        <v>36</v>
      </c>
      <c r="G7" s="7" t="s">
        <v>44</v>
      </c>
      <c r="H7" s="9" t="s">
        <v>45</v>
      </c>
      <c r="I7" s="9" t="s">
        <v>46</v>
      </c>
      <c r="J7" s="9" t="s">
        <v>47</v>
      </c>
      <c r="K7" s="9" t="s">
        <v>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7" t="s">
        <v>12</v>
      </c>
      <c r="B8" s="7">
        <v>6.0</v>
      </c>
      <c r="C8" s="7" t="s">
        <v>49</v>
      </c>
      <c r="D8" s="10" t="s">
        <v>50</v>
      </c>
      <c r="E8" s="7">
        <v>2024.0</v>
      </c>
      <c r="F8" s="7" t="s">
        <v>51</v>
      </c>
      <c r="G8" s="7" t="s">
        <v>52</v>
      </c>
      <c r="H8" s="9" t="s">
        <v>53</v>
      </c>
      <c r="I8" s="9" t="s">
        <v>54</v>
      </c>
      <c r="J8" s="9" t="s">
        <v>55</v>
      </c>
      <c r="K8" s="9" t="s">
        <v>56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7" t="s">
        <v>12</v>
      </c>
      <c r="B9" s="7">
        <v>7.0</v>
      </c>
      <c r="C9" s="7" t="s">
        <v>57</v>
      </c>
      <c r="D9" s="10" t="s">
        <v>58</v>
      </c>
      <c r="E9" s="7">
        <v>2024.0</v>
      </c>
      <c r="F9" s="7" t="s">
        <v>59</v>
      </c>
      <c r="G9" s="7" t="s">
        <v>60</v>
      </c>
      <c r="H9" s="9" t="s">
        <v>61</v>
      </c>
      <c r="I9" s="9" t="s">
        <v>62</v>
      </c>
      <c r="J9" s="9" t="s">
        <v>63</v>
      </c>
      <c r="K9" s="9" t="s">
        <v>64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7" t="s">
        <v>12</v>
      </c>
      <c r="B10" s="7">
        <v>8.0</v>
      </c>
      <c r="C10" s="7" t="s">
        <v>65</v>
      </c>
      <c r="D10" s="10" t="s">
        <v>66</v>
      </c>
      <c r="E10" s="7">
        <v>2025.0</v>
      </c>
      <c r="F10" s="7" t="s">
        <v>59</v>
      </c>
      <c r="G10" s="7" t="s">
        <v>67</v>
      </c>
      <c r="H10" s="9" t="s">
        <v>68</v>
      </c>
      <c r="I10" s="9" t="s">
        <v>69</v>
      </c>
      <c r="J10" s="9" t="s">
        <v>70</v>
      </c>
      <c r="K10" s="9" t="s">
        <v>71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7" t="s">
        <v>12</v>
      </c>
      <c r="B11" s="7">
        <v>9.0</v>
      </c>
      <c r="C11" s="7" t="s">
        <v>72</v>
      </c>
      <c r="D11" s="10" t="s">
        <v>73</v>
      </c>
      <c r="E11" s="7">
        <v>2024.0</v>
      </c>
      <c r="F11" s="7" t="s">
        <v>74</v>
      </c>
      <c r="G11" s="11" t="s">
        <v>75</v>
      </c>
      <c r="H11" s="9" t="s">
        <v>76</v>
      </c>
      <c r="I11" s="9" t="s">
        <v>77</v>
      </c>
      <c r="J11" s="9" t="s">
        <v>78</v>
      </c>
      <c r="K11" s="9" t="s">
        <v>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7" t="s">
        <v>12</v>
      </c>
      <c r="B12" s="7">
        <v>10.0</v>
      </c>
      <c r="C12" s="7" t="s">
        <v>80</v>
      </c>
      <c r="D12" s="8" t="s">
        <v>81</v>
      </c>
      <c r="E12" s="7">
        <v>2024.0</v>
      </c>
      <c r="F12" s="11" t="s">
        <v>36</v>
      </c>
      <c r="G12" s="7" t="s">
        <v>82</v>
      </c>
      <c r="H12" s="9" t="s">
        <v>83</v>
      </c>
      <c r="I12" s="9" t="s">
        <v>84</v>
      </c>
      <c r="J12" s="9" t="s">
        <v>85</v>
      </c>
      <c r="K12" s="9" t="s">
        <v>86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7" t="s">
        <v>87</v>
      </c>
      <c r="B13" s="7">
        <v>11.0</v>
      </c>
      <c r="C13" s="7" t="s">
        <v>88</v>
      </c>
      <c r="D13" s="10" t="s">
        <v>89</v>
      </c>
      <c r="E13" s="7">
        <v>2024.0</v>
      </c>
      <c r="F13" s="7" t="s">
        <v>90</v>
      </c>
      <c r="G13" s="7" t="s">
        <v>91</v>
      </c>
      <c r="H13" s="12" t="s">
        <v>92</v>
      </c>
      <c r="I13" s="12" t="s">
        <v>93</v>
      </c>
      <c r="J13" s="12" t="s">
        <v>94</v>
      </c>
      <c r="K13" s="12" t="s">
        <v>95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7" t="s">
        <v>87</v>
      </c>
      <c r="B14" s="7">
        <v>12.0</v>
      </c>
      <c r="C14" s="7" t="s">
        <v>96</v>
      </c>
      <c r="D14" s="10" t="s">
        <v>97</v>
      </c>
      <c r="E14" s="7">
        <v>2025.0</v>
      </c>
      <c r="F14" s="7" t="s">
        <v>98</v>
      </c>
      <c r="G14" s="7" t="s">
        <v>99</v>
      </c>
      <c r="H14" s="12" t="s">
        <v>100</v>
      </c>
      <c r="I14" s="12" t="s">
        <v>101</v>
      </c>
      <c r="J14" s="12" t="s">
        <v>102</v>
      </c>
      <c r="K14" s="12" t="s">
        <v>103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7" t="s">
        <v>87</v>
      </c>
      <c r="B15" s="7">
        <v>13.0</v>
      </c>
      <c r="C15" s="7" t="s">
        <v>104</v>
      </c>
      <c r="D15" s="10" t="s">
        <v>97</v>
      </c>
      <c r="E15" s="7">
        <v>2024.0</v>
      </c>
      <c r="F15" s="7" t="s">
        <v>90</v>
      </c>
      <c r="G15" s="7" t="s">
        <v>105</v>
      </c>
      <c r="H15" s="12" t="s">
        <v>106</v>
      </c>
      <c r="I15" s="12" t="s">
        <v>107</v>
      </c>
      <c r="J15" s="12" t="s">
        <v>108</v>
      </c>
      <c r="K15" s="12" t="s">
        <v>109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7" t="s">
        <v>87</v>
      </c>
      <c r="B16" s="7">
        <v>14.0</v>
      </c>
      <c r="C16" s="7" t="s">
        <v>110</v>
      </c>
      <c r="D16" s="10" t="s">
        <v>111</v>
      </c>
      <c r="E16" s="7">
        <v>2024.0</v>
      </c>
      <c r="F16" s="7" t="s">
        <v>90</v>
      </c>
      <c r="G16" s="7" t="s">
        <v>112</v>
      </c>
      <c r="H16" s="12" t="s">
        <v>113</v>
      </c>
      <c r="I16" s="12" t="s">
        <v>114</v>
      </c>
      <c r="J16" s="12" t="s">
        <v>115</v>
      </c>
      <c r="K16" s="12" t="s">
        <v>116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7" t="s">
        <v>87</v>
      </c>
      <c r="B17" s="7">
        <v>15.0</v>
      </c>
      <c r="C17" s="7" t="s">
        <v>117</v>
      </c>
      <c r="D17" s="10" t="s">
        <v>118</v>
      </c>
      <c r="E17" s="7">
        <v>2026.0</v>
      </c>
      <c r="F17" s="7" t="s">
        <v>90</v>
      </c>
      <c r="G17" s="7" t="s">
        <v>119</v>
      </c>
      <c r="H17" s="12" t="s">
        <v>120</v>
      </c>
      <c r="I17" s="12" t="s">
        <v>121</v>
      </c>
      <c r="J17" s="12" t="s">
        <v>122</v>
      </c>
      <c r="K17" s="12" t="s">
        <v>123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7" t="s">
        <v>87</v>
      </c>
      <c r="B18" s="7">
        <v>16.0</v>
      </c>
      <c r="C18" s="7" t="s">
        <v>124</v>
      </c>
      <c r="D18" s="10" t="s">
        <v>125</v>
      </c>
      <c r="E18" s="7">
        <v>2025.0</v>
      </c>
      <c r="F18" s="7" t="s">
        <v>126</v>
      </c>
      <c r="G18" s="7" t="s">
        <v>127</v>
      </c>
      <c r="H18" s="12" t="s">
        <v>128</v>
      </c>
      <c r="I18" s="12" t="s">
        <v>129</v>
      </c>
      <c r="J18" s="12" t="s">
        <v>130</v>
      </c>
      <c r="K18" s="12" t="s">
        <v>131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7" t="s">
        <v>87</v>
      </c>
      <c r="B19" s="7">
        <v>17.0</v>
      </c>
      <c r="C19" s="7" t="s">
        <v>132</v>
      </c>
      <c r="D19" s="10" t="s">
        <v>133</v>
      </c>
      <c r="E19" s="7">
        <v>2024.0</v>
      </c>
      <c r="F19" s="7" t="s">
        <v>90</v>
      </c>
      <c r="G19" s="7" t="s">
        <v>134</v>
      </c>
      <c r="H19" s="12" t="s">
        <v>135</v>
      </c>
      <c r="I19" s="12" t="s">
        <v>136</v>
      </c>
      <c r="J19" s="12" t="s">
        <v>137</v>
      </c>
      <c r="K19" s="12" t="s">
        <v>138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7" t="s">
        <v>87</v>
      </c>
      <c r="B20" s="7">
        <v>18.0</v>
      </c>
      <c r="C20" s="7" t="s">
        <v>139</v>
      </c>
      <c r="D20" s="8" t="s">
        <v>140</v>
      </c>
      <c r="E20" s="7">
        <v>2025.0</v>
      </c>
      <c r="F20" s="7" t="s">
        <v>90</v>
      </c>
      <c r="G20" s="7" t="s">
        <v>141</v>
      </c>
      <c r="H20" s="12" t="s">
        <v>142</v>
      </c>
      <c r="I20" s="12" t="s">
        <v>143</v>
      </c>
      <c r="J20" s="12" t="s">
        <v>144</v>
      </c>
      <c r="K20" s="12" t="s">
        <v>145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" t="s">
        <v>87</v>
      </c>
      <c r="B21" s="7">
        <v>19.0</v>
      </c>
      <c r="C21" s="7" t="s">
        <v>146</v>
      </c>
      <c r="D21" s="10" t="s">
        <v>147</v>
      </c>
      <c r="E21" s="7">
        <v>2023.0</v>
      </c>
      <c r="F21" s="7" t="s">
        <v>90</v>
      </c>
      <c r="G21" s="7" t="s">
        <v>148</v>
      </c>
      <c r="H21" s="12" t="s">
        <v>149</v>
      </c>
      <c r="I21" s="12" t="s">
        <v>150</v>
      </c>
      <c r="J21" s="12" t="s">
        <v>151</v>
      </c>
      <c r="K21" s="12" t="s">
        <v>152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7" t="s">
        <v>87</v>
      </c>
      <c r="B22" s="7">
        <v>20.0</v>
      </c>
      <c r="C22" s="7" t="s">
        <v>153</v>
      </c>
      <c r="D22" s="10" t="s">
        <v>154</v>
      </c>
      <c r="E22" s="7">
        <v>2023.0</v>
      </c>
      <c r="F22" s="7" t="s">
        <v>59</v>
      </c>
      <c r="G22" s="7" t="s">
        <v>155</v>
      </c>
      <c r="H22" s="12" t="s">
        <v>156</v>
      </c>
      <c r="I22" s="12" t="s">
        <v>157</v>
      </c>
      <c r="J22" s="12" t="s">
        <v>158</v>
      </c>
      <c r="K22" s="12" t="s">
        <v>159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7" t="s">
        <v>160</v>
      </c>
      <c r="B23" s="7">
        <v>21.0</v>
      </c>
      <c r="C23" s="7" t="s">
        <v>161</v>
      </c>
      <c r="D23" s="8" t="s">
        <v>162</v>
      </c>
      <c r="E23" s="7">
        <v>2024.0</v>
      </c>
      <c r="F23" s="7" t="s">
        <v>15</v>
      </c>
      <c r="G23" s="7" t="s">
        <v>163</v>
      </c>
      <c r="H23" s="7" t="s">
        <v>164</v>
      </c>
      <c r="I23" s="7" t="s">
        <v>165</v>
      </c>
      <c r="J23" s="7" t="s">
        <v>166</v>
      </c>
      <c r="K23" s="7" t="s">
        <v>167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7" t="s">
        <v>160</v>
      </c>
      <c r="B24" s="7">
        <v>22.0</v>
      </c>
      <c r="C24" s="7" t="s">
        <v>168</v>
      </c>
      <c r="D24" s="8" t="s">
        <v>169</v>
      </c>
      <c r="E24" s="7">
        <v>2024.0</v>
      </c>
      <c r="F24" s="7" t="s">
        <v>15</v>
      </c>
      <c r="G24" s="7" t="s">
        <v>163</v>
      </c>
      <c r="H24" s="7" t="s">
        <v>164</v>
      </c>
      <c r="I24" s="7" t="s">
        <v>165</v>
      </c>
      <c r="J24" s="7" t="s">
        <v>166</v>
      </c>
      <c r="K24" s="7" t="s">
        <v>167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7" t="s">
        <v>160</v>
      </c>
      <c r="B25" s="7">
        <v>23.0</v>
      </c>
      <c r="C25" s="7" t="s">
        <v>170</v>
      </c>
      <c r="D25" s="8" t="s">
        <v>171</v>
      </c>
      <c r="E25" s="7">
        <v>2025.0</v>
      </c>
      <c r="F25" s="7" t="s">
        <v>59</v>
      </c>
      <c r="G25" s="7" t="s">
        <v>172</v>
      </c>
      <c r="H25" s="7" t="s">
        <v>173</v>
      </c>
      <c r="I25" s="7" t="s">
        <v>174</v>
      </c>
      <c r="J25" s="7" t="s">
        <v>175</v>
      </c>
      <c r="K25" s="7" t="s">
        <v>176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7" t="s">
        <v>160</v>
      </c>
      <c r="B26" s="7">
        <v>24.0</v>
      </c>
      <c r="C26" s="7" t="s">
        <v>177</v>
      </c>
      <c r="D26" s="8" t="s">
        <v>178</v>
      </c>
      <c r="E26" s="7">
        <v>2024.0</v>
      </c>
      <c r="F26" s="7" t="s">
        <v>15</v>
      </c>
      <c r="G26" s="7" t="s">
        <v>179</v>
      </c>
      <c r="H26" s="7" t="s">
        <v>180</v>
      </c>
      <c r="I26" s="7" t="s">
        <v>181</v>
      </c>
      <c r="J26" s="7" t="s">
        <v>182</v>
      </c>
      <c r="K26" s="7" t="s">
        <v>183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7" t="s">
        <v>160</v>
      </c>
      <c r="B27" s="7">
        <v>25.0</v>
      </c>
      <c r="C27" s="7" t="s">
        <v>184</v>
      </c>
      <c r="D27" s="8" t="s">
        <v>185</v>
      </c>
      <c r="E27" s="7">
        <v>2024.0</v>
      </c>
      <c r="F27" s="7" t="s">
        <v>15</v>
      </c>
      <c r="G27" s="7" t="s">
        <v>29</v>
      </c>
      <c r="H27" s="7" t="s">
        <v>186</v>
      </c>
      <c r="I27" s="7" t="s">
        <v>187</v>
      </c>
      <c r="J27" s="7" t="s">
        <v>188</v>
      </c>
      <c r="K27" s="7" t="s">
        <v>189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7" t="s">
        <v>160</v>
      </c>
      <c r="B28" s="7">
        <v>26.0</v>
      </c>
      <c r="C28" s="7" t="s">
        <v>190</v>
      </c>
      <c r="D28" s="8" t="s">
        <v>191</v>
      </c>
      <c r="E28" s="7">
        <v>2022.0</v>
      </c>
      <c r="F28" s="7" t="s">
        <v>192</v>
      </c>
      <c r="G28" s="7" t="s">
        <v>193</v>
      </c>
      <c r="H28" s="7" t="s">
        <v>194</v>
      </c>
      <c r="I28" s="7" t="s">
        <v>195</v>
      </c>
      <c r="J28" s="7" t="s">
        <v>196</v>
      </c>
      <c r="K28" s="7" t="s">
        <v>197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7" t="s">
        <v>160</v>
      </c>
      <c r="B29" s="7">
        <v>27.0</v>
      </c>
      <c r="C29" s="7" t="s">
        <v>198</v>
      </c>
      <c r="D29" s="8" t="s">
        <v>199</v>
      </c>
      <c r="E29" s="7">
        <v>2023.0</v>
      </c>
      <c r="F29" s="7" t="s">
        <v>200</v>
      </c>
      <c r="G29" s="7" t="s">
        <v>201</v>
      </c>
      <c r="H29" s="7" t="s">
        <v>202</v>
      </c>
      <c r="I29" s="7" t="s">
        <v>203</v>
      </c>
      <c r="J29" s="7" t="s">
        <v>204</v>
      </c>
      <c r="K29" s="7" t="s">
        <v>205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7" t="s">
        <v>160</v>
      </c>
      <c r="B30" s="7">
        <v>28.0</v>
      </c>
      <c r="C30" s="7" t="s">
        <v>206</v>
      </c>
      <c r="D30" s="8" t="s">
        <v>207</v>
      </c>
      <c r="E30" s="7">
        <v>2024.0</v>
      </c>
      <c r="F30" s="7" t="s">
        <v>208</v>
      </c>
      <c r="G30" s="7" t="s">
        <v>209</v>
      </c>
      <c r="H30" s="7" t="s">
        <v>210</v>
      </c>
      <c r="I30" s="7" t="s">
        <v>211</v>
      </c>
      <c r="J30" s="7" t="s">
        <v>212</v>
      </c>
      <c r="K30" s="7" t="s">
        <v>213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7" t="s">
        <v>160</v>
      </c>
      <c r="B31" s="7">
        <v>29.0</v>
      </c>
      <c r="C31" s="7" t="s">
        <v>214</v>
      </c>
      <c r="D31" s="8" t="s">
        <v>215</v>
      </c>
      <c r="E31" s="7">
        <v>2026.0</v>
      </c>
      <c r="F31" s="7" t="s">
        <v>216</v>
      </c>
      <c r="G31" s="7" t="s">
        <v>217</v>
      </c>
      <c r="H31" s="7" t="s">
        <v>218</v>
      </c>
      <c r="I31" s="7" t="s">
        <v>219</v>
      </c>
      <c r="J31" s="7" t="s">
        <v>220</v>
      </c>
      <c r="K31" s="7" t="s">
        <v>221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7" t="s">
        <v>160</v>
      </c>
      <c r="B32" s="7">
        <v>30.0</v>
      </c>
      <c r="C32" s="7" t="s">
        <v>222</v>
      </c>
      <c r="D32" s="8" t="s">
        <v>223</v>
      </c>
      <c r="E32" s="7">
        <v>2025.0</v>
      </c>
      <c r="F32" s="7" t="s">
        <v>224</v>
      </c>
      <c r="G32" s="7" t="s">
        <v>225</v>
      </c>
      <c r="H32" s="7" t="s">
        <v>226</v>
      </c>
      <c r="I32" s="7" t="s">
        <v>227</v>
      </c>
      <c r="J32" s="7" t="s">
        <v>228</v>
      </c>
      <c r="K32" s="7" t="s">
        <v>229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7" t="s">
        <v>230</v>
      </c>
      <c r="B33" s="7">
        <v>31.0</v>
      </c>
      <c r="C33" s="7" t="s">
        <v>231</v>
      </c>
      <c r="D33" s="8" t="s">
        <v>232</v>
      </c>
      <c r="E33" s="7">
        <v>2024.0</v>
      </c>
      <c r="F33" s="7" t="s">
        <v>36</v>
      </c>
      <c r="G33" s="7" t="s">
        <v>233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7" t="s">
        <v>230</v>
      </c>
      <c r="B34" s="7">
        <v>32.0</v>
      </c>
      <c r="C34" s="7" t="s">
        <v>234</v>
      </c>
      <c r="D34" s="13" t="s">
        <v>234</v>
      </c>
      <c r="E34" s="7">
        <v>2024.0</v>
      </c>
      <c r="F34" s="7" t="s">
        <v>36</v>
      </c>
      <c r="G34" s="7" t="s">
        <v>37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7" t="s">
        <v>230</v>
      </c>
      <c r="B35" s="7">
        <v>33.0</v>
      </c>
      <c r="C35" s="7" t="s">
        <v>235</v>
      </c>
      <c r="D35" s="3"/>
      <c r="E35" s="7">
        <v>2026.0</v>
      </c>
      <c r="F35" s="7" t="s">
        <v>90</v>
      </c>
      <c r="G35" s="7" t="s">
        <v>236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7" t="s">
        <v>230</v>
      </c>
      <c r="B36" s="7">
        <v>34.0</v>
      </c>
      <c r="C36" s="7" t="s">
        <v>237</v>
      </c>
      <c r="D36" s="8" t="s">
        <v>238</v>
      </c>
      <c r="E36" s="7">
        <v>2025.0</v>
      </c>
      <c r="F36" s="7" t="s">
        <v>239</v>
      </c>
      <c r="G36" s="7" t="s">
        <v>240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7" t="s">
        <v>230</v>
      </c>
      <c r="B37" s="7">
        <v>35.0</v>
      </c>
      <c r="C37" s="7" t="s">
        <v>241</v>
      </c>
      <c r="D37" s="8" t="s">
        <v>242</v>
      </c>
      <c r="E37" s="7">
        <v>2025.0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7" t="s">
        <v>230</v>
      </c>
      <c r="B38" s="7">
        <v>36.0</v>
      </c>
      <c r="C38" s="7" t="s">
        <v>243</v>
      </c>
      <c r="D38" s="8" t="s">
        <v>244</v>
      </c>
      <c r="E38" s="7">
        <v>2025.0</v>
      </c>
      <c r="F38" s="7" t="s">
        <v>90</v>
      </c>
      <c r="G38" s="7" t="s">
        <v>245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7" t="s">
        <v>230</v>
      </c>
      <c r="B39" s="7">
        <v>37.0</v>
      </c>
      <c r="C39" s="7" t="s">
        <v>246</v>
      </c>
      <c r="D39" s="8" t="s">
        <v>247</v>
      </c>
      <c r="E39" s="7">
        <v>2023.0</v>
      </c>
      <c r="F39" s="7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7" t="s">
        <v>230</v>
      </c>
      <c r="B40" s="7">
        <v>38.0</v>
      </c>
      <c r="C40" s="7" t="s">
        <v>248</v>
      </c>
      <c r="D40" s="10" t="s">
        <v>249</v>
      </c>
      <c r="E40" s="7">
        <v>2024.0</v>
      </c>
      <c r="F40" s="7" t="s">
        <v>250</v>
      </c>
      <c r="G40" s="7" t="s">
        <v>251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7" t="s">
        <v>230</v>
      </c>
      <c r="B41" s="7">
        <v>39.0</v>
      </c>
      <c r="C41" s="7" t="s">
        <v>252</v>
      </c>
      <c r="D41" s="8" t="s">
        <v>253</v>
      </c>
      <c r="E41" s="7">
        <v>2026.0</v>
      </c>
      <c r="F41" s="3"/>
      <c r="G41" s="7" t="s">
        <v>254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7" t="s">
        <v>230</v>
      </c>
      <c r="B42" s="7">
        <v>40.0</v>
      </c>
      <c r="C42" s="7" t="s">
        <v>255</v>
      </c>
      <c r="D42" s="8" t="s">
        <v>256</v>
      </c>
      <c r="E42" s="7">
        <v>2025.0</v>
      </c>
      <c r="F42" s="7" t="s">
        <v>36</v>
      </c>
      <c r="G42" s="7" t="s">
        <v>257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7"/>
      <c r="B43" s="7">
        <v>41.0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7"/>
      <c r="B44" s="7">
        <v>42.0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7"/>
      <c r="B45" s="7">
        <v>43.0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7"/>
      <c r="B46" s="7">
        <v>44.0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7"/>
      <c r="B47" s="7">
        <v>45.0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7"/>
      <c r="B48" s="7">
        <v>46.0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7"/>
      <c r="B49" s="7">
        <v>47.0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7"/>
      <c r="B50" s="7">
        <v>48.0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7"/>
      <c r="B51" s="7">
        <v>49.0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7"/>
      <c r="B52" s="7">
        <v>50.0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7"/>
      <c r="B53" s="7">
        <v>51.0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7"/>
      <c r="B54" s="7">
        <v>52.0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7"/>
      <c r="B55" s="7">
        <v>53.0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7"/>
      <c r="B56" s="7">
        <v>54.0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7"/>
      <c r="B57" s="7">
        <v>55.0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7"/>
      <c r="B58" s="7">
        <v>56.0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</sheetData>
  <mergeCells count="1">
    <mergeCell ref="B1:M1"/>
  </mergeCells>
  <conditionalFormatting sqref="C2:C1001">
    <cfRule type="expression" dxfId="0" priority="1">
      <formula>COUNTIF(C:C, C2)&gt;1</formula>
    </cfRule>
  </conditionalFormatting>
  <dataValidations>
    <dataValidation type="list" allowBlank="1" showErrorMessage="1" sqref="E28">
      <formula1>"2023,2024,2025,2026,2022"</formula1>
    </dataValidation>
    <dataValidation type="list" allowBlank="1" showErrorMessage="1" sqref="E3:E27 E29:E52">
      <formula1>"2023,2024,2025,2026"</formula1>
    </dataValidation>
    <dataValidation type="list" allowBlank="1" showErrorMessage="1" sqref="A3:A52">
      <formula1>"Abdulla,Sunzida,Fahim,Nasir,Tahir"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5"/>
    <col customWidth="1" min="3" max="3" width="20.13"/>
    <col customWidth="1" min="4" max="6" width="17.5"/>
  </cols>
  <sheetData>
    <row r="1">
      <c r="A1" s="14" t="s">
        <v>2</v>
      </c>
      <c r="B1" s="14" t="s">
        <v>258</v>
      </c>
      <c r="C1" s="14" t="s">
        <v>259</v>
      </c>
      <c r="D1" s="14" t="s">
        <v>260</v>
      </c>
      <c r="E1" s="14" t="s">
        <v>261</v>
      </c>
      <c r="F1" s="14" t="s">
        <v>262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1.0</v>
      </c>
      <c r="B2" s="7" t="s">
        <v>263</v>
      </c>
      <c r="C2" s="7" t="s">
        <v>264</v>
      </c>
      <c r="D2" s="7">
        <v>1.0</v>
      </c>
      <c r="E2" s="7">
        <v>493.0</v>
      </c>
      <c r="F2" s="7">
        <f t="shared" ref="F2:F13" si="1">D2*E2</f>
        <v>493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7" t="s">
        <v>265</v>
      </c>
      <c r="C3" s="7" t="s">
        <v>266</v>
      </c>
      <c r="D3" s="7">
        <v>6.0</v>
      </c>
      <c r="E3" s="7">
        <v>490.0</v>
      </c>
      <c r="F3" s="7">
        <f t="shared" si="1"/>
        <v>2940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3.0</v>
      </c>
      <c r="B4" s="7" t="s">
        <v>267</v>
      </c>
      <c r="C4" s="7" t="s">
        <v>268</v>
      </c>
      <c r="D4" s="7">
        <v>6.0</v>
      </c>
      <c r="E4" s="7">
        <v>90.0</v>
      </c>
      <c r="F4" s="7">
        <f t="shared" si="1"/>
        <v>540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7" t="s">
        <v>269</v>
      </c>
      <c r="C5" s="7" t="s">
        <v>270</v>
      </c>
      <c r="D5" s="7">
        <v>6.0</v>
      </c>
      <c r="E5" s="7">
        <v>5.0</v>
      </c>
      <c r="F5" s="7">
        <f t="shared" si="1"/>
        <v>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5.0</v>
      </c>
      <c r="B6" s="7" t="s">
        <v>271</v>
      </c>
      <c r="C6" s="7" t="s">
        <v>272</v>
      </c>
      <c r="D6" s="7">
        <v>1.0</v>
      </c>
      <c r="E6" s="15">
        <v>1149.0</v>
      </c>
      <c r="F6" s="7">
        <f t="shared" si="1"/>
        <v>1149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6.0</v>
      </c>
      <c r="B7" s="7" t="s">
        <v>273</v>
      </c>
      <c r="C7" s="7" t="s">
        <v>274</v>
      </c>
      <c r="D7" s="7">
        <v>1.0</v>
      </c>
      <c r="E7" s="7">
        <v>150.0</v>
      </c>
      <c r="F7" s="7">
        <f t="shared" si="1"/>
        <v>150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7.0</v>
      </c>
      <c r="B8" s="7" t="s">
        <v>275</v>
      </c>
      <c r="C8" s="7" t="s">
        <v>276</v>
      </c>
      <c r="D8" s="7">
        <v>1.0</v>
      </c>
      <c r="E8" s="7">
        <v>120.0</v>
      </c>
      <c r="F8" s="7">
        <f t="shared" si="1"/>
        <v>120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8.0</v>
      </c>
      <c r="B9" s="7" t="s">
        <v>277</v>
      </c>
      <c r="C9" s="7" t="s">
        <v>278</v>
      </c>
      <c r="D9" s="7">
        <v>1.0</v>
      </c>
      <c r="E9" s="7">
        <v>350.0</v>
      </c>
      <c r="F9" s="7">
        <f t="shared" si="1"/>
        <v>350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9.0</v>
      </c>
      <c r="B10" s="7" t="s">
        <v>279</v>
      </c>
      <c r="C10" s="7" t="s">
        <v>280</v>
      </c>
      <c r="D10" s="7">
        <v>1.0</v>
      </c>
      <c r="E10" s="7">
        <v>700.0</v>
      </c>
      <c r="F10" s="7">
        <f t="shared" si="1"/>
        <v>700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10.0</v>
      </c>
      <c r="B11" s="7" t="s">
        <v>281</v>
      </c>
      <c r="C11" s="7" t="s">
        <v>282</v>
      </c>
      <c r="D11" s="7">
        <v>1.0</v>
      </c>
      <c r="E11" s="7">
        <v>100.0</v>
      </c>
      <c r="F11" s="7">
        <f t="shared" si="1"/>
        <v>100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11.0</v>
      </c>
      <c r="B12" s="7" t="s">
        <v>283</v>
      </c>
      <c r="C12" s="7" t="s">
        <v>284</v>
      </c>
      <c r="D12" s="7">
        <v>1.0</v>
      </c>
      <c r="E12" s="7">
        <v>150.0</v>
      </c>
      <c r="F12" s="7">
        <f t="shared" si="1"/>
        <v>150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12.0</v>
      </c>
      <c r="B13" s="7" t="s">
        <v>285</v>
      </c>
      <c r="C13" s="7" t="s">
        <v>286</v>
      </c>
      <c r="D13" s="7">
        <v>2.0</v>
      </c>
      <c r="E13" s="7">
        <v>100.0</v>
      </c>
      <c r="F13" s="7">
        <f t="shared" si="1"/>
        <v>200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7"/>
      <c r="C14" s="7"/>
      <c r="D14" s="7"/>
      <c r="E14" s="7"/>
      <c r="F14" s="1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7" t="s">
        <v>287</v>
      </c>
      <c r="F18" s="3">
        <f>SUM(F2:F13)</f>
        <v>6922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rawing r:id="rId1"/>
</worksheet>
</file>